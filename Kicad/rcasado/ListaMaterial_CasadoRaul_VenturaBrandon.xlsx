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SE1\Placas\PCBLSE1_CasadoRaul_VenturaBrandon\"/>
    </mc:Choice>
  </mc:AlternateContent>
  <xr:revisionPtr revIDLastSave="0" documentId="8_{7878DD4B-057C-4189-B5FC-10F0A8CC6620}" xr6:coauthVersionLast="47" xr6:coauthVersionMax="47" xr10:uidLastSave="{00000000-0000-0000-0000-000000000000}"/>
  <bookViews>
    <workbookView xWindow="-110" yWindow="-110" windowWidth="19420" windowHeight="10420" xr2:uid="{E32758F5-40B0-49B6-A475-665CEFB936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" i="1" l="1"/>
  <c r="H13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<sst xmlns="http://schemas.openxmlformats.org/spreadsheetml/2006/main" count="85" uniqueCount="62">
  <si>
    <t>Distribuidor</t>
  </si>
  <si>
    <t>Dispositiu</t>
  </si>
  <si>
    <t>Referència del fabricant</t>
  </si>
  <si>
    <t>Referència del distribuïdor</t>
  </si>
  <si>
    <t xml:space="preserve">Preu unitari </t>
  </si>
  <si>
    <t>QUANTITAT Necessària</t>
  </si>
  <si>
    <t>QUANTITAT Mínima</t>
  </si>
  <si>
    <t xml:space="preserve">Preu Total </t>
  </si>
  <si>
    <t>Link de compra</t>
  </si>
  <si>
    <t>Comentaris</t>
  </si>
  <si>
    <t>RS</t>
  </si>
  <si>
    <t>Bloque de terminal PCB Macho RS PRO de 2 vías, paso 5.08mm, 10A, de color Verde, montaje Montaje en orificio pasante,</t>
  </si>
  <si>
    <t>146-8345</t>
  </si>
  <si>
    <t>link</t>
  </si>
  <si>
    <t>Bloque de terminal PCB Hembra Ángulo recto RS PRO de 3 vías, paso 5.08mm, 25A, de color Verde, montaje Montaje en</t>
  </si>
  <si>
    <t>790-1155</t>
  </si>
  <si>
    <t>Regleta de pines Wurth Elektronik serie WR-PHD de 40 vías, 1 fila, paso 2.54mm, para soldar, Orificio Pasante</t>
  </si>
  <si>
    <t>163-5305</t>
  </si>
  <si>
    <t>LED Lite-On, Rojo, 625 nm, Vf= 2,6 V, 60°, mont. pasante, encapsulado 3 mm (T-1)</t>
  </si>
  <si>
    <t>LTL-4221N</t>
  </si>
  <si>
    <t>127-8400</t>
  </si>
  <si>
    <t>MOSFET, IRFR1205TRPBF, N-Canal-Canal, 44 A, 55 V, 3-Pin, DPAK (TO-252) HEXFET Simple Si</t>
  </si>
  <si>
    <t>IRFR1205TRPBF</t>
  </si>
  <si>
    <t>827-4026</t>
  </si>
  <si>
    <t>Módulo controlador de puerta IR2301SPBF, CMOS, LSTTL 350 mA SOIC 8 pines</t>
  </si>
  <si>
    <t>IR2301SPBF</t>
  </si>
  <si>
    <t>262-6704P</t>
  </si>
  <si>
    <t>Diodo, 1N4149, Pequeña señal, 500mA, 100V, 4ns, DO-35, 2-Pines</t>
  </si>
  <si>
    <t>1N4149</t>
  </si>
  <si>
    <t>186-7651</t>
  </si>
  <si>
    <t>Farnell</t>
  </si>
  <si>
    <t>Condensador Electrolítico Aluminio SMD, Radial - SMD, 470 µF, 35 V, 2000 horas a 105°C, Polar</t>
  </si>
  <si>
    <t>MCVFZ035M471XB6L</t>
  </si>
  <si>
    <t>Potenciometro con película de carbono de 10kΩ, ±10%, 0.1W, serie RK163, 1 vuelta, eje de 6 mm de Ø, Montaje en Panel</t>
  </si>
  <si>
    <t>RK1631110TWA</t>
  </si>
  <si>
    <t>172-6361</t>
  </si>
  <si>
    <t>potenciometre de control duty ESC
NO ES POT SOLDAR A LA PCB</t>
  </si>
  <si>
    <t>Regulador de tensión L7805CV, 1.5A, 3 pines</t>
  </si>
  <si>
    <t>L7805CV</t>
  </si>
  <si>
    <t>918-1971</t>
  </si>
  <si>
    <t>Regulador de tensión LMS8117AMP-3.3/NOPB, 1A SOT-223, 3+Tab pines</t>
  </si>
  <si>
    <t>LMS8117AMP-3.3/NOPB</t>
  </si>
  <si>
    <t>536-0313P</t>
  </si>
  <si>
    <t>Comparador LM339D Colector Abierto 1.3μs 4-Canales, 3 → 28 V 14-Pines SOIC</t>
  </si>
  <si>
    <t>LM339D</t>
  </si>
  <si>
    <t>858-411</t>
  </si>
  <si>
    <t>Components SMD 1206</t>
  </si>
  <si>
    <t>resistències</t>
  </si>
  <si>
    <t>sèrie E6 des de 1Ohm fins a 1MEGOhm</t>
  </si>
  <si>
    <t>condensadors (nF)</t>
  </si>
  <si>
    <t xml:space="preserve">0.1 - 1 - 2.2  - 3.3 - 4.7 - 6.8 - 10 - 22 -33 - 47 - 68 - 100 - 220 - 330 - 470 - 680 -1000 -2200 - 10000 </t>
  </si>
  <si>
    <t>Condensador entrada alimentació radial SMT (C15)</t>
  </si>
  <si>
    <t>Díode bootstrap (D1, D2, D3)</t>
  </si>
  <si>
    <t>LED alimentació (D4, D5)</t>
  </si>
  <si>
    <t>Comparador BEMF (IC1)</t>
  </si>
  <si>
    <t>Driver doble alt i baix per NMOS (IC2, IC3, IC4)</t>
  </si>
  <si>
    <t>Regulador 3.3V (IC5)</t>
  </si>
  <si>
    <t>NMOS de potencia (Q1-Q7)</t>
  </si>
  <si>
    <t>Regulador linial fix 5V, encapsulat TO-220 (U1)</t>
  </si>
  <si>
    <t>Connector Alimentació (J6)</t>
  </si>
  <si>
    <t>Connector Motor (J7)</t>
  </si>
  <si>
    <t>Tira mascle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</si>
</sst>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#,##0.000\ &quot;€&quot;"/>
    <numFmt numFmtId="165" formatCode="#,##0.00&quot; € &quot;;\-#,##0.00&quot; € &quot;;&quot; -&quot;#&quot; € &quot;;@\ "/>
    <numFmt numFmtId="166" formatCode="#,##0.00\ &quot;€&quot;"/>
    <numFmt numFmtId="167" formatCode="_-* #,##0.00\ _€_-;\-* #,##0.00\ _€_-;_-* &quot;-&quot;??\ _€_-;_-@_-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sz val="11"/>
      <color theme="10"/>
      <name val="Aptos Narrow"/>
      <family val="2"/>
      <scheme val="minor"/>
    </font>
    <font>
      <sz val="10"/>
      <name val="Arial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165" fontId="3" fillId="0" borderId="0"/>
    <xf numFmtId="0" fontId="1" fillId="0" borderId="0" applyNumberForma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wrapText="1"/>
    </xf>
    <xf numFmtId="164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165" fontId="3" fillId="3" borderId="2" xfId="2" applyFill="1" applyBorder="1" applyAlignment="1">
      <alignment vertical="center"/>
    </xf>
    <xf numFmtId="0" fontId="1" fillId="3" borderId="2" xfId="3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1" fillId="0" borderId="2" xfId="3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4" fillId="0" borderId="2" xfId="3" applyFont="1" applyFill="1" applyBorder="1" applyAlignment="1">
      <alignment horizontal="center" vertical="center"/>
    </xf>
    <xf numFmtId="0" fontId="5" fillId="0" borderId="2" xfId="4" applyBorder="1" applyAlignment="1">
      <alignment horizontal="center" vertical="center"/>
    </xf>
    <xf numFmtId="0" fontId="3" fillId="0" borderId="2" xfId="2" applyNumberFormat="1" applyBorder="1" applyAlignment="1">
      <alignment horizontal="center" vertical="center"/>
    </xf>
    <xf numFmtId="165" fontId="3" fillId="0" borderId="2" xfId="2" applyBorder="1" applyAlignment="1">
      <alignment vertical="center"/>
    </xf>
    <xf numFmtId="1" fontId="5" fillId="0" borderId="2" xfId="4" applyNumberFormat="1" applyBorder="1" applyAlignment="1">
      <alignment vertical="center"/>
    </xf>
    <xf numFmtId="1" fontId="5" fillId="0" borderId="2" xfId="5" applyNumberFormat="1" applyFont="1" applyFill="1" applyBorder="1" applyAlignment="1">
      <alignment vertical="center"/>
    </xf>
    <xf numFmtId="165" fontId="3" fillId="0" borderId="2" xfId="2" applyBorder="1" applyAlignment="1">
      <alignment vertical="center" wrapText="1"/>
    </xf>
    <xf numFmtId="0" fontId="1" fillId="0" borderId="2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8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6">
    <cellStyle name="Excel Built-in Currency" xfId="2" xr:uid="{D4DB507D-0F57-4EE7-912D-3CCCFE23FEC8}"/>
    <cellStyle name="Hipervínculo" xfId="1" builtinId="8"/>
    <cellStyle name="Hipervínculo 2" xfId="3" xr:uid="{F75AC35F-FDCC-4B7E-84C2-47446F0C1DE4}"/>
    <cellStyle name="Millares 3" xfId="5" xr:uid="{1199CD2A-95F5-4EED-A496-ABAC7CEC45EF}"/>
    <cellStyle name="Normal" xfId="0" builtinId="0"/>
    <cellStyle name="Normal 2" xfId="4" xr:uid="{3A61B8F2-CBDD-4F14-9326-8BE3BCC461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rs-online.com/web/p/potenciometros/2499238?gb=s" TargetMode="External"/><Relationship Id="rId3" Type="http://schemas.openxmlformats.org/officeDocument/2006/relationships/hyperlink" Target="https://es.rs-online.com/web/p/bornes-para-pcb/7901155?gb=b" TargetMode="External"/><Relationship Id="rId7" Type="http://schemas.openxmlformats.org/officeDocument/2006/relationships/hyperlink" Target="https://es.farnell.com/multicomp/mcvfz035m471xb6l/conden-470-f-35v-smd/dp/2627682" TargetMode="External"/><Relationship Id="rId12" Type="http://schemas.openxmlformats.org/officeDocument/2006/relationships/hyperlink" Target="https://es.rs-online.com/web/p/reguladores-de-tension/5360313P?cm_mmc=es-DS-APP-_-PCB-_-VIEW-_-5360313P&amp;utm_campaign=5360313P&amp;utm_medium=PCB&amp;utm_source=es-DS-APP" TargetMode="External"/><Relationship Id="rId2" Type="http://schemas.openxmlformats.org/officeDocument/2006/relationships/hyperlink" Target="https://es.rs-online.com/web/p/mosfet/8303357/" TargetMode="External"/><Relationship Id="rId1" Type="http://schemas.openxmlformats.org/officeDocument/2006/relationships/hyperlink" Target="https://es.rs-online.com/web/p/bornes-para-pcb/1468345?gb=b" TargetMode="External"/><Relationship Id="rId6" Type="http://schemas.openxmlformats.org/officeDocument/2006/relationships/hyperlink" Target="https://es.rs-online.com/web/p/diodos-schottky-y-rectificadores/1867651?gb=s" TargetMode="External"/><Relationship Id="rId11" Type="http://schemas.openxmlformats.org/officeDocument/2006/relationships/hyperlink" Target="https://es.rs-online.com/web/p/reguladores-de-tension/9181971?gb=s" TargetMode="External"/><Relationship Id="rId5" Type="http://schemas.openxmlformats.org/officeDocument/2006/relationships/hyperlink" Target="https://es.rs-online.com/web/p/drivers-de-potencia/2626704P" TargetMode="External"/><Relationship Id="rId10" Type="http://schemas.openxmlformats.org/officeDocument/2006/relationships/hyperlink" Target="https://es.rs-online.com/web/p/comparadores/0858411?gb=s" TargetMode="External"/><Relationship Id="rId4" Type="http://schemas.openxmlformats.org/officeDocument/2006/relationships/hyperlink" Target="https://es.rs-online.com/web/p/leds/1278400?gb=s" TargetMode="External"/><Relationship Id="rId9" Type="http://schemas.openxmlformats.org/officeDocument/2006/relationships/hyperlink" Target="https://es.rs-online.com/web/p/conectores-macho-para-pcb/1635305?gb=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1906-3657-4CD4-903A-B90E86A4061B}">
  <dimension ref="A1:K17"/>
  <sheetViews>
    <sheetView tabSelected="1" zoomScale="85" zoomScaleNormal="85" workbookViewId="0">
      <selection activeCell="C14" sqref="C14"/>
    </sheetView>
  </sheetViews>
  <sheetFormatPr baseColWidth="10" defaultRowHeight="14.5" x14ac:dyDescent="0.35"/>
  <cols>
    <col min="1" max="1" width="13.08984375" customWidth="1"/>
    <col min="2" max="2" width="28" customWidth="1"/>
    <col min="3" max="3" width="22.1796875" customWidth="1"/>
    <col min="4" max="4" width="16.6328125" customWidth="1"/>
    <col min="5" max="5" width="14.1796875" customWidth="1"/>
    <col min="6" max="6" width="12.7265625" customWidth="1"/>
    <col min="7" max="7" width="12.81640625" customWidth="1"/>
    <col min="8" max="8" width="11.453125" customWidth="1"/>
    <col min="9" max="9" width="9.453125" customWidth="1"/>
    <col min="10" max="10" width="26.453125" style="25" customWidth="1"/>
  </cols>
  <sheetData>
    <row r="1" spans="1:11" s="25" customFormat="1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1"/>
    </row>
    <row r="2" spans="1:11" ht="58" x14ac:dyDescent="0.35">
      <c r="A2" s="2" t="s">
        <v>10</v>
      </c>
      <c r="B2" s="3" t="s">
        <v>11</v>
      </c>
      <c r="C2" s="2" t="s">
        <v>12</v>
      </c>
      <c r="D2" s="2" t="s">
        <v>12</v>
      </c>
      <c r="E2" s="4">
        <v>0.58399999999999996</v>
      </c>
      <c r="F2" s="5">
        <v>1</v>
      </c>
      <c r="G2" s="5">
        <v>10</v>
      </c>
      <c r="H2" s="6">
        <f t="shared" ref="H2:H11" si="0">E2*F2</f>
        <v>0.58399999999999996</v>
      </c>
      <c r="I2" s="7" t="s">
        <v>13</v>
      </c>
      <c r="J2" s="15" t="s">
        <v>59</v>
      </c>
    </row>
    <row r="3" spans="1:11" ht="58" x14ac:dyDescent="0.35">
      <c r="A3" s="2" t="s">
        <v>10</v>
      </c>
      <c r="B3" s="3" t="s">
        <v>14</v>
      </c>
      <c r="C3" s="2" t="s">
        <v>15</v>
      </c>
      <c r="D3" s="2" t="s">
        <v>15</v>
      </c>
      <c r="E3" s="4">
        <v>1.35</v>
      </c>
      <c r="F3" s="5">
        <v>1</v>
      </c>
      <c r="G3" s="5">
        <v>5</v>
      </c>
      <c r="H3" s="6">
        <f t="shared" si="0"/>
        <v>1.35</v>
      </c>
      <c r="I3" s="7" t="s">
        <v>13</v>
      </c>
      <c r="J3" s="15" t="s">
        <v>60</v>
      </c>
    </row>
    <row r="4" spans="1:11" ht="58" x14ac:dyDescent="0.35">
      <c r="A4" s="2" t="s">
        <v>10</v>
      </c>
      <c r="B4" s="8" t="s">
        <v>16</v>
      </c>
      <c r="C4" s="9">
        <v>61304011121</v>
      </c>
      <c r="D4" s="9" t="s">
        <v>17</v>
      </c>
      <c r="E4" s="10">
        <v>0.72099999999999997</v>
      </c>
      <c r="F4" s="11">
        <v>3</v>
      </c>
      <c r="G4" s="11">
        <v>200</v>
      </c>
      <c r="H4" s="10">
        <f>E4*F4</f>
        <v>2.1629999999999998</v>
      </c>
      <c r="I4" s="12" t="s">
        <v>13</v>
      </c>
      <c r="J4" s="9" t="s">
        <v>61</v>
      </c>
    </row>
    <row r="5" spans="1:11" ht="44" customHeight="1" x14ac:dyDescent="0.35">
      <c r="A5" s="2" t="s">
        <v>10</v>
      </c>
      <c r="B5" s="3" t="s">
        <v>18</v>
      </c>
      <c r="C5" s="2" t="s">
        <v>19</v>
      </c>
      <c r="D5" s="2" t="s">
        <v>20</v>
      </c>
      <c r="E5" s="27">
        <v>6.6000000000000003E-2</v>
      </c>
      <c r="F5" s="5">
        <v>2</v>
      </c>
      <c r="G5" s="5">
        <v>100</v>
      </c>
      <c r="H5" s="6">
        <f>E5*F5</f>
        <v>0.13200000000000001</v>
      </c>
      <c r="I5" s="7" t="s">
        <v>13</v>
      </c>
      <c r="J5" s="15" t="s">
        <v>53</v>
      </c>
    </row>
    <row r="6" spans="1:11" ht="43.5" x14ac:dyDescent="0.35">
      <c r="A6" s="2" t="s">
        <v>10</v>
      </c>
      <c r="B6" s="14" t="s">
        <v>21</v>
      </c>
      <c r="C6" s="2" t="s">
        <v>22</v>
      </c>
      <c r="D6" s="2" t="s">
        <v>23</v>
      </c>
      <c r="E6" s="27">
        <v>1.3080000000000001</v>
      </c>
      <c r="F6" s="5">
        <v>6</v>
      </c>
      <c r="G6" s="5">
        <v>20</v>
      </c>
      <c r="H6" s="6">
        <f t="shared" si="0"/>
        <v>7.8480000000000008</v>
      </c>
      <c r="I6" s="7" t="s">
        <v>13</v>
      </c>
      <c r="J6" s="15" t="s">
        <v>57</v>
      </c>
    </row>
    <row r="7" spans="1:11" ht="43.5" x14ac:dyDescent="0.35">
      <c r="A7" s="2" t="s">
        <v>10</v>
      </c>
      <c r="B7" s="14" t="s">
        <v>24</v>
      </c>
      <c r="C7" s="2" t="s">
        <v>25</v>
      </c>
      <c r="D7" s="2" t="s">
        <v>26</v>
      </c>
      <c r="E7" s="27">
        <v>1.3220000000000001</v>
      </c>
      <c r="F7" s="5">
        <v>3</v>
      </c>
      <c r="G7" s="5">
        <v>25</v>
      </c>
      <c r="H7" s="6">
        <f t="shared" si="0"/>
        <v>3.9660000000000002</v>
      </c>
      <c r="I7" s="7" t="s">
        <v>13</v>
      </c>
      <c r="J7" s="15" t="s">
        <v>55</v>
      </c>
    </row>
    <row r="8" spans="1:11" ht="43.5" x14ac:dyDescent="0.35">
      <c r="A8" s="2" t="s">
        <v>10</v>
      </c>
      <c r="B8" s="3" t="s">
        <v>27</v>
      </c>
      <c r="C8" s="2" t="s">
        <v>28</v>
      </c>
      <c r="D8" s="15" t="s">
        <v>29</v>
      </c>
      <c r="E8" s="27">
        <v>4.1000000000000002E-2</v>
      </c>
      <c r="F8" s="5">
        <v>3</v>
      </c>
      <c r="G8" s="5">
        <v>100</v>
      </c>
      <c r="H8" s="6">
        <f t="shared" si="0"/>
        <v>0.123</v>
      </c>
      <c r="I8" s="7" t="s">
        <v>13</v>
      </c>
      <c r="J8" s="15" t="s">
        <v>52</v>
      </c>
    </row>
    <row r="9" spans="1:11" ht="58" x14ac:dyDescent="0.35">
      <c r="A9" s="2" t="s">
        <v>30</v>
      </c>
      <c r="B9" s="16" t="s">
        <v>31</v>
      </c>
      <c r="C9" s="9" t="s">
        <v>32</v>
      </c>
      <c r="D9" s="9">
        <v>2627682</v>
      </c>
      <c r="E9" s="10">
        <v>2.41</v>
      </c>
      <c r="F9" s="11">
        <v>1</v>
      </c>
      <c r="G9" s="11">
        <v>1</v>
      </c>
      <c r="H9" s="10">
        <f t="shared" si="0"/>
        <v>2.41</v>
      </c>
      <c r="I9" s="17" t="s">
        <v>13</v>
      </c>
      <c r="J9" s="15" t="s">
        <v>51</v>
      </c>
    </row>
    <row r="10" spans="1:11" ht="58" x14ac:dyDescent="0.35">
      <c r="A10" s="2" t="s">
        <v>10</v>
      </c>
      <c r="B10" s="13" t="s">
        <v>33</v>
      </c>
      <c r="C10" s="18" t="s">
        <v>34</v>
      </c>
      <c r="D10" s="19" t="s">
        <v>35</v>
      </c>
      <c r="E10" s="20">
        <v>7.3</v>
      </c>
      <c r="F10" s="21">
        <v>1</v>
      </c>
      <c r="G10" s="22">
        <v>1</v>
      </c>
      <c r="H10" s="23">
        <f t="shared" si="0"/>
        <v>7.3</v>
      </c>
      <c r="I10" s="12" t="s">
        <v>13</v>
      </c>
      <c r="J10" s="26" t="s">
        <v>36</v>
      </c>
    </row>
    <row r="11" spans="1:11" ht="29" x14ac:dyDescent="0.35">
      <c r="A11" s="2" t="s">
        <v>10</v>
      </c>
      <c r="B11" s="13" t="s">
        <v>37</v>
      </c>
      <c r="C11" s="18" t="s">
        <v>38</v>
      </c>
      <c r="D11" s="19" t="s">
        <v>39</v>
      </c>
      <c r="E11" s="20">
        <v>0.26</v>
      </c>
      <c r="F11" s="21">
        <v>1</v>
      </c>
      <c r="G11" s="22">
        <v>50</v>
      </c>
      <c r="H11" s="23">
        <f t="shared" si="0"/>
        <v>0.26</v>
      </c>
      <c r="I11" s="24" t="s">
        <v>13</v>
      </c>
      <c r="J11" s="15" t="s">
        <v>58</v>
      </c>
    </row>
    <row r="12" spans="1:11" ht="43.5" x14ac:dyDescent="0.35">
      <c r="A12" s="2" t="s">
        <v>10</v>
      </c>
      <c r="B12" s="13" t="s">
        <v>40</v>
      </c>
      <c r="C12" s="18" t="s">
        <v>41</v>
      </c>
      <c r="D12" s="19" t="s">
        <v>42</v>
      </c>
      <c r="E12" s="20">
        <v>0.95</v>
      </c>
      <c r="F12" s="21">
        <v>1</v>
      </c>
      <c r="G12" s="22">
        <v>15</v>
      </c>
      <c r="H12" s="6">
        <f>E12*F12</f>
        <v>0.95</v>
      </c>
      <c r="I12" s="24" t="s">
        <v>13</v>
      </c>
      <c r="J12" s="15" t="s">
        <v>56</v>
      </c>
    </row>
    <row r="13" spans="1:11" ht="43.5" x14ac:dyDescent="0.35">
      <c r="A13" s="2" t="s">
        <v>10</v>
      </c>
      <c r="B13" s="13" t="s">
        <v>43</v>
      </c>
      <c r="C13" s="18" t="s">
        <v>44</v>
      </c>
      <c r="D13" s="19" t="s">
        <v>45</v>
      </c>
      <c r="E13" s="20">
        <v>0.88</v>
      </c>
      <c r="F13" s="21">
        <v>1</v>
      </c>
      <c r="G13" s="22">
        <v>1</v>
      </c>
      <c r="H13" s="23">
        <f>E13*F13</f>
        <v>0.88</v>
      </c>
      <c r="I13" s="12" t="s">
        <v>13</v>
      </c>
      <c r="J13" s="15" t="s">
        <v>54</v>
      </c>
    </row>
    <row r="15" spans="1:11" x14ac:dyDescent="0.35">
      <c r="A15" s="28" t="s">
        <v>46</v>
      </c>
      <c r="B15" s="29"/>
    </row>
    <row r="16" spans="1:11" ht="29" x14ac:dyDescent="0.35">
      <c r="A16" s="2" t="s">
        <v>47</v>
      </c>
      <c r="B16" s="13" t="s">
        <v>48</v>
      </c>
    </row>
    <row r="17" spans="1:2" ht="43.5" x14ac:dyDescent="0.35">
      <c r="A17" s="30" t="s">
        <v>49</v>
      </c>
      <c r="B17" s="13" t="s">
        <v>50</v>
      </c>
    </row>
  </sheetData>
  <hyperlinks>
    <hyperlink ref="I2" r:id="rId1" xr:uid="{52A0B16B-005F-4853-978B-34FA09C6CA6A}"/>
    <hyperlink ref="I6" r:id="rId2" xr:uid="{081FFE7F-982E-4956-96F7-E2C1F15CFFDB}"/>
    <hyperlink ref="I3" r:id="rId3" xr:uid="{22AF49FB-B88A-4233-9328-59F1D17F7CF6}"/>
    <hyperlink ref="I5" r:id="rId4" xr:uid="{6F40FEF5-0F87-4DBB-941E-D6C09E43A27A}"/>
    <hyperlink ref="I7" r:id="rId5" xr:uid="{B3E9338D-EBCB-4728-A3CE-9F4147E7A4E4}"/>
    <hyperlink ref="I8" r:id="rId6" xr:uid="{26792227-1D04-4774-B5AC-CD3110932882}"/>
    <hyperlink ref="I9" r:id="rId7" xr:uid="{E3144255-CCE4-416E-965F-50E605003C97}"/>
    <hyperlink ref="I10" r:id="rId8" xr:uid="{F3B01726-6053-458F-8F8B-91682946FAA3}"/>
    <hyperlink ref="I4" r:id="rId9" xr:uid="{3028556C-B2A1-4252-B47D-32A92B4781FA}"/>
    <hyperlink ref="I13" r:id="rId10" xr:uid="{5D1AED02-FA24-4847-AE30-C019DF48950D}"/>
    <hyperlink ref="I11" r:id="rId11" xr:uid="{C6FD0BB8-8B33-4B8C-831F-D07858313598}"/>
    <hyperlink ref="I12" r:id="rId12" xr:uid="{1058C6BC-E23C-4EBC-964A-86D145B02C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Casado Luque</dc:creator>
  <cp:lastModifiedBy>Raul Casado Luque</cp:lastModifiedBy>
  <dcterms:created xsi:type="dcterms:W3CDTF">2026-10-15T15:01:35Z</dcterms:created>
  <dcterms:modified xsi:type="dcterms:W3CDTF">2026-10-15T16:36:54Z</dcterms:modified>
</cp:coreProperties>
</file>